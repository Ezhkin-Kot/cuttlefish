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u's cpter\Desktop\ming\⊥Ⓞʞ ዙиʞжΞ\"/>
    </mc:Choice>
  </mc:AlternateContent>
  <bookViews>
    <workbookView windowWidth="30720" windowHeight="13500"/>
  </bookViews>
  <sheets>
    <sheet name="cuttlefish-carr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<sst xmlns="http://schemas.openxmlformats.org/spreadsheetml/2006/main" count="88" uniqueCount="49">
  <si>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Reference</t>
  </si>
  <si>
    <t>Value</t>
  </si>
  <si>
    <t>DNP</t>
  </si>
  <si>
    <t>Manufacturer</t>
  </si>
  <si>
    <t>Manufacturer Part #</t>
  </si>
  <si>
    <t>Qty</t>
  </si>
  <si>
    <t>P/N</t>
  </si>
  <si>
    <t>Brand</t>
  </si>
  <si>
    <t>Packing</t>
  </si>
  <si>
    <t>Unit price</t>
  </si>
  <si>
    <t>Total price</t>
  </si>
  <si>
    <t>Arduino Nano1</t>
  </si>
  <si>
    <t>Arduino_Nano_v3.x Socket</t>
  </si>
  <si>
    <t>Connfly</t>
  </si>
  <si>
    <t>PBD-30 (DS-1023 - 2x15)</t>
  </si>
  <si>
    <t>DS1023-2*15SF11</t>
  </si>
  <si>
    <t>DIP</t>
  </si>
  <si>
    <t>BATTERY1</t>
  </si>
  <si>
    <t>Battery Socket</t>
  </si>
  <si>
    <t>KLS</t>
  </si>
  <si>
    <t>KLS2-301-5.00-02P-2S</t>
  </si>
  <si>
    <t>DG301-5.0-02P-12-00A(H)</t>
  </si>
  <si>
    <t>DEGSON</t>
  </si>
  <si>
    <t>C1</t>
  </si>
  <si>
    <t>470uF 16V</t>
  </si>
  <si>
    <t>Rubycon</t>
  </si>
  <si>
    <t>16WXA470MEFC8X9</t>
  </si>
  <si>
    <t>C2</t>
  </si>
  <si>
    <t>MOTOR1</t>
  </si>
  <si>
    <t>Motor Socket</t>
  </si>
  <si>
    <t>MP1584</t>
  </si>
  <si>
    <t>DC-DC Converter Socket</t>
  </si>
  <si>
    <t>DS1002-03-1X2131</t>
  </si>
  <si>
    <t>SBC1</t>
  </si>
  <si>
    <t>SBC Socket</t>
  </si>
  <si>
    <t>SRV1</t>
  </si>
  <si>
    <t>Servo Socket</t>
  </si>
  <si>
    <t>PLS-40R 1x3</t>
  </si>
  <si>
    <t>DS1022-1x3RUF11-B</t>
  </si>
  <si>
    <t>SWITCH1</t>
  </si>
  <si>
    <t>Switch Socket</t>
  </si>
  <si>
    <t>TB6612FNG1</t>
  </si>
  <si>
    <t>Driver Socket</t>
  </si>
  <si>
    <t>PBS-8 (DS-1023 - 1x8)</t>
  </si>
  <si>
    <t>DS1023-1x8SF11</t>
  </si>
  <si>
    <t>XL4015E1</t>
  </si>
  <si>
    <t>DS1002-03-1X1-131</t>
  </si>
  <si>
    <t>X5511FV-01-C30D97-0970</t>
  </si>
  <si>
    <t>XKB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</si>
</sst>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[$₽-419];\-#,##0.000[$₽-419]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SheetLayoutView="60" workbookViewId="0">
      <selection activeCell="L7" sqref="L7"/>
    </sheetView>
  </sheetViews>
  <sheetFormatPr defaultColWidth="10" defaultRowHeight="14.4"/>
  <cols>
    <col min="1" max="1" width="31.6666666666667" customWidth="1"/>
    <col min="2" max="2" width="34.2222222222222" customWidth="1"/>
    <col min="4" max="4" width="16.5555555555556" customWidth="1"/>
    <col min="5" max="5" width="24.4444444444444" customWidth="1"/>
    <col min="7" max="7" width="19" customWidth="1"/>
    <col min="10" max="10" width="10" style="1"/>
    <col min="11" max="11" width="11.8888888888889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D2" t="s">
        <v>13</v>
      </c>
      <c r="E2" t="s">
        <v>14</v>
      </c>
      <c r="F2">
        <v>2</v>
      </c>
      <c r="G2" s="2" t="s">
        <v>15</v>
      </c>
      <c r="H2" s="2" t="s">
        <v>13</v>
      </c>
      <c r="I2" s="2" t="s">
        <v>16</v>
      </c>
      <c r="J2" s="3">
        <v>36.4</v>
      </c>
      <c r="K2" s="3">
        <f>J2*F2*10</f>
        <v>728</v>
      </c>
    </row>
    <row r="3" spans="1:11">
      <c r="A3" t="s">
        <v>17</v>
      </c>
      <c r="B3" t="s">
        <v>18</v>
      </c>
      <c r="D3" t="s">
        <v>19</v>
      </c>
      <c r="E3" t="s">
        <v>20</v>
      </c>
      <c r="F3">
        <v>1</v>
      </c>
      <c r="G3" s="2" t="s">
        <v>21</v>
      </c>
      <c r="H3" s="2" t="s">
        <v>22</v>
      </c>
      <c r="I3" s="2" t="s">
        <v>16</v>
      </c>
      <c r="J3" s="3">
        <v>18.2</v>
      </c>
      <c r="K3" s="3">
        <f t="shared" ref="K3:K12" si="0">J3*F3*10</f>
        <v>182</v>
      </c>
    </row>
    <row r="4" spans="1:11">
      <c r="A4" t="s">
        <v>23</v>
      </c>
      <c r="B4" t="s">
        <v>24</v>
      </c>
      <c r="D4" t="s">
        <v>25</v>
      </c>
      <c r="E4" t="s">
        <v>26</v>
      </c>
      <c r="F4">
        <v>1</v>
      </c>
      <c r="G4" s="2" t="s">
        <v>26</v>
      </c>
      <c r="H4" s="2" t="s">
        <v>25</v>
      </c>
      <c r="I4" s="2" t="s">
        <v>16</v>
      </c>
      <c r="J4" s="3">
        <v>12.74</v>
      </c>
      <c r="K4" s="3">
        <f t="shared" si="0"/>
        <v>127.4</v>
      </c>
    </row>
    <row r="5" spans="1:11">
      <c r="A5" t="s">
        <v>27</v>
      </c>
      <c r="B5" t="s">
        <v>24</v>
      </c>
      <c r="D5" t="s">
        <v>25</v>
      </c>
      <c r="E5" t="s">
        <v>26</v>
      </c>
      <c r="F5">
        <v>1</v>
      </c>
      <c r="G5" s="2" t="s">
        <v>26</v>
      </c>
      <c r="H5" s="2" t="s">
        <v>25</v>
      </c>
      <c r="I5" s="2" t="s">
        <v>16</v>
      </c>
      <c r="J5" s="3">
        <v>12.74</v>
      </c>
      <c r="K5" s="3">
        <f t="shared" si="0"/>
        <v>127.4</v>
      </c>
    </row>
    <row r="6" spans="1:11">
      <c r="A6" t="s">
        <v>28</v>
      </c>
      <c r="B6" t="s">
        <v>29</v>
      </c>
      <c r="D6" t="s">
        <v>19</v>
      </c>
      <c r="E6" t="s">
        <v>20</v>
      </c>
      <c r="F6">
        <v>1</v>
      </c>
      <c r="G6" s="2" t="s">
        <v>21</v>
      </c>
      <c r="H6" s="2" t="s">
        <v>22</v>
      </c>
      <c r="I6" s="2" t="s">
        <v>16</v>
      </c>
      <c r="J6" s="3">
        <v>18.2</v>
      </c>
      <c r="K6" s="3">
        <f t="shared" si="0"/>
        <v>182</v>
      </c>
    </row>
    <row r="7" spans="1:11">
      <c r="A7" t="s">
        <v>30</v>
      </c>
      <c r="B7" t="s">
        <v>31</v>
      </c>
      <c r="D7" t="s">
        <v>13</v>
      </c>
      <c r="E7" t="s">
        <v>32</v>
      </c>
      <c r="F7">
        <v>4</v>
      </c>
      <c r="G7" s="2" t="s">
        <v>32</v>
      </c>
      <c r="H7" s="2" t="s">
        <v>13</v>
      </c>
      <c r="I7" s="2" t="s">
        <v>16</v>
      </c>
      <c r="J7" s="3">
        <v>16.38</v>
      </c>
      <c r="K7" s="3">
        <f t="shared" si="0"/>
        <v>655.2</v>
      </c>
    </row>
    <row r="8" spans="1:11">
      <c r="A8" t="s">
        <v>33</v>
      </c>
      <c r="B8" t="s">
        <v>34</v>
      </c>
      <c r="D8" t="s">
        <v>19</v>
      </c>
      <c r="E8" t="s">
        <v>20</v>
      </c>
      <c r="F8">
        <v>1</v>
      </c>
      <c r="G8" s="2" t="s">
        <v>21</v>
      </c>
      <c r="H8" s="2" t="s">
        <v>22</v>
      </c>
      <c r="I8" s="2" t="s">
        <v>16</v>
      </c>
      <c r="J8" s="3">
        <v>18.2</v>
      </c>
      <c r="K8" s="3">
        <f t="shared" si="0"/>
        <v>182</v>
      </c>
    </row>
    <row r="9" spans="1:11">
      <c r="A9" t="s">
        <v>35</v>
      </c>
      <c r="B9" t="s">
        <v>36</v>
      </c>
      <c r="D9" t="s">
        <v>13</v>
      </c>
      <c r="E9" t="s">
        <v>37</v>
      </c>
      <c r="F9">
        <v>1</v>
      </c>
      <c r="G9" s="4" t="s">
        <v>38</v>
      </c>
      <c r="H9" s="2" t="s">
        <v>13</v>
      </c>
      <c r="I9" s="2" t="s">
        <v>16</v>
      </c>
      <c r="J9" s="3">
        <v>4.55</v>
      </c>
      <c r="K9" s="3">
        <f t="shared" si="0"/>
        <v>45.5</v>
      </c>
    </row>
    <row r="10" spans="1:11">
      <c r="A10" t="s">
        <v>39</v>
      </c>
      <c r="B10" t="s">
        <v>40</v>
      </c>
      <c r="D10" t="s">
        <v>19</v>
      </c>
      <c r="E10" t="s">
        <v>20</v>
      </c>
      <c r="F10">
        <v>1</v>
      </c>
      <c r="G10" s="2" t="s">
        <v>21</v>
      </c>
      <c r="H10" s="2" t="s">
        <v>22</v>
      </c>
      <c r="I10" s="2" t="s">
        <v>16</v>
      </c>
      <c r="J10" s="3">
        <v>18.2</v>
      </c>
      <c r="K10" s="3">
        <f t="shared" si="0"/>
        <v>182</v>
      </c>
    </row>
    <row r="11" spans="1:11">
      <c r="A11" t="s">
        <v>41</v>
      </c>
      <c r="B11" t="s">
        <v>42</v>
      </c>
      <c r="D11" t="s">
        <v>13</v>
      </c>
      <c r="E11" t="s">
        <v>43</v>
      </c>
      <c r="F11">
        <v>2</v>
      </c>
      <c r="G11" s="2" t="s">
        <v>44</v>
      </c>
      <c r="H11" s="2" t="s">
        <v>13</v>
      </c>
      <c r="I11" s="2" t="s">
        <v>16</v>
      </c>
      <c r="J11" s="3">
        <v>11.284</v>
      </c>
      <c r="K11" s="3">
        <f t="shared" si="0"/>
        <v>225.68</v>
      </c>
    </row>
    <row r="12" spans="1:11">
      <c r="A12" t="s">
        <v>45</v>
      </c>
      <c r="B12" t="s">
        <v>31</v>
      </c>
      <c r="D12" t="s">
        <v>13</v>
      </c>
      <c r="E12" t="s">
        <v>46</v>
      </c>
      <c r="F12">
        <v>4</v>
      </c>
      <c r="G12" s="2" t="s">
        <v>47</v>
      </c>
      <c r="H12" s="2" t="s">
        <v>48</v>
      </c>
      <c r="I12" s="2" t="s">
        <v>16</v>
      </c>
      <c r="J12" s="3">
        <v>9.1</v>
      </c>
      <c r="K12" s="3">
        <f t="shared" si="0"/>
        <v>364</v>
      </c>
    </row>
    <row r="13" spans="1:11">
      <c r="K13" s="1">
        <f>SUM(K2:K12)</f>
        <v>3001.18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cuttlefish-carrier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WPS_1733967499</cp:lastModifiedBy>
  <dcterms:created xsi:type="dcterms:W3CDTF">2026-09-24T12:10:51Z</dcterms:created>
  <dcterms:modified xsi:type="dcterms:W3CDTF">2026-09-24T12:25:36Z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593871C30B1144DB8744342E3274F7A5_13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